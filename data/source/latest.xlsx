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620" windowHeight="14920"/>
  </bookViews>
  <sheets>
    <sheet name="抖音" sheetId="2" r:id="rId1"/>
    <sheet name="快手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<sst xmlns="http://schemas.openxmlformats.org/spreadsheetml/2006/main" count="98" uniqueCount="57">
  <si>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抖音账号基本信息</t>
  </si>
  <si>
    <t>昵称</t>
  </si>
  <si>
    <t>拍机堂大王</t>
  </si>
  <si>
    <t>获赞</t>
  </si>
  <si>
    <t>粉丝</t>
  </si>
  <si>
    <t>标签</t>
  </si>
  <si>
    <t>作品名称</t>
  </si>
  <si>
    <t>发布时间</t>
  </si>
  <si>
    <t>体裁</t>
  </si>
  <si>
    <t>审核状态</t>
  </si>
  <si>
    <t>播放量</t>
  </si>
  <si>
    <t>完播率</t>
  </si>
  <si>
    <t>5s完播率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</si>
  <si>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</si>
  <si>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</si>
  <si>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</si>
  <si>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</si>
  <si>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</si>
  <si>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</si>
  <si>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</si>
  <si>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</si>
  <si>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投放金额</t>
  </si>
  <si>
    <t>CPM</t>
  </si>
  <si>
    <t>CPE</t>
  </si>
  <si>
    <t>中植入</t>
  </si>
  <si>
    <t>会还没结束，我已经破防 #二手机回收 #销售vlog日常 #拍机堂 #二手手机 #销售新人 @抖音小助手</t>
  </si>
  <si>
    <t>1-3min视频</t>
  </si>
  <si>
    <t>公开</t>
  </si>
  <si>
    <t>弱植入</t>
  </si>
  <si>
    <t>我一个新人为什么会出现在这里？ #拍机堂 #销售新人 #二手机回收 #销售vlog #二手手机 @抖音小助手</t>
  </si>
  <si>
    <t>强植入</t>
  </si>
  <si>
    <t>这功能一出来，我感觉自己要疯狂开单了 #二手机批发 #销售新人 #二手手机 #拍机堂 #销售vlog @抖音小助手</t>
  </si>
  <si>
    <t>手感来了挡都挡不住哟 #二手机 #拍机堂 #销售新人 #销售vlog #二手手机批发 @抖音小助手</t>
  </si>
  <si>
    <t>1min-视频</t>
  </si>
  <si>
    <t>笔记本卖家靠一波龙虾又好起来了？ #二手手机批发 #销售新人 #二手手机 #销售vlog #拍机堂 @抖音小助手</t>
  </si>
  <si>
    <t>开单啦！看我如何拿捏“黑粉”客户 #拍机堂 #二手手机批发 #销售新人 #二手手机 #销售vlog @抖音小助手</t>
  </si>
  <si>
    <t>销售新人遇到大佬了！ 一场直播卖五六十台P40#二手手机批发 #销售新人 #二手手机 #销售vlog #拍机堂 @抖音小助手</t>
  </si>
  <si>
    <t>B2B销售第二天，勇闯拍机堂招商会 #二手手机批发 #销售新人 #二手手机 #销售vlog #拍机堂 @抖音小助手</t>
  </si>
  <si>
    <t>B2B销售第一天，倒亏19.9 #二手手机批发#销售新人 #二手手机 #销售vlog  #拍机堂 @抖音小助手</t>
  </si>
  <si>
    <t>平均值</t>
  </si>
  <si>
    <t>总计</t>
  </si>
  <si>
    <t>快手账号基本信息</t>
  </si>
  <si>
    <t>作品</t>
  </si>
  <si>
    <t>涨粉量</t>
  </si>
  <si>
    <t>平均播放</t>
  </si>
  <si>
    <t>2秒跳出</t>
  </si>
  <si>
    <t>5秒完播</t>
  </si>
  <si>
    <r>
      <rPr>
        <sz val="11"/>
        <color rgb="FF000000"/>
        <rFont val="宋体"/>
        <charset val="134"/>
      </rPr>
      <t>笔记本卖家？靠一波龙虾赚麻了？ #二手机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#销售新人求学之路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#拍机堂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#拜访客户</t>
    </r>
  </si>
  <si>
    <t>2026-05-23 20:00:00</t>
  </si>
  <si>
    <r>
      <rPr>
        <sz val="11"/>
        <color rgb="FF000000"/>
        <rFont val="宋体"/>
        <charset val="134"/>
      </rPr>
      <t>开单啦！看本王如何拿捏“黑粉”客户 #拍机堂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#二手机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#销售新人求学之路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#拜访客户</t>
    </r>
  </si>
  <si>
    <t>2026-05-21 20:00:00</t>
  </si>
  <si>
    <r>
      <rPr>
        <sz val="11"/>
        <color rgb="FF000000"/>
        <rFont val="宋体"/>
        <charset val="134"/>
      </rPr>
      <t>销售新人遇到大佬了！一场直播卖出五六十台P40！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#二手机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#拍机堂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#销售新人求学之路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#拜访客户</t>
    </r>
  </si>
  <si>
    <t>2026-05-19 20:00:00</t>
  </si>
  <si>
    <r>
      <rPr>
        <sz val="11"/>
        <color rgb="FF000000"/>
        <rFont val="宋体"/>
        <charset val="134"/>
      </rPr>
      <t>B2B销售第二天，勇闯拍机堂招商会 #二手机回收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#拍机堂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#销售新人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#跑市场</t>
    </r>
  </si>
  <si>
    <t>2026-05-17 17:30:00</t>
  </si>
  <si>
    <r>
      <rPr>
        <sz val="11"/>
        <color rgb="FF000000"/>
        <rFont val="宋体"/>
        <charset val="134"/>
      </rPr>
      <t>B2B销售第一天，倒亏19.9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#二手机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#拍机堂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#销售新人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#拜访客户</t>
    </r>
  </si>
  <si>
    <t>2026-05-15 17:30:00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</si>
</sst>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_ "/>
    <numFmt numFmtId="178" formatCode="0.0"/>
    <numFmt numFmtId="179" formatCode="0.00_ 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黑体-简"/>
      <charset val="0"/>
    </font>
    <font>
      <b/>
      <sz val="10"/>
      <color rgb="FF000000"/>
      <name val="黑体-简"/>
      <charset val="134"/>
    </font>
    <font>
      <sz val="11"/>
      <color rgb="FF000000"/>
      <name val="黑体-简"/>
      <charset val="0"/>
    </font>
    <font>
      <b/>
      <sz val="11"/>
      <color rgb="FF000000"/>
      <name val="黑体-简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Verdana"/>
      <charset val="134"/>
    </font>
    <font>
      <sz val="10"/>
      <color rgb="FF000000"/>
      <name val="微软雅黑"/>
      <charset val="134"/>
    </font>
    <font>
      <sz val="11"/>
      <color rgb="FF000000"/>
      <name val="Verdana"/>
      <charset val="0"/>
    </font>
    <font>
      <sz val="12"/>
      <color rgb="FF000000"/>
      <name val="Verdana"/>
      <charset val="0"/>
    </font>
    <font>
      <b/>
      <sz val="12"/>
      <color rgb="FF000000"/>
      <name val="微软雅黑"/>
      <charset val="134"/>
    </font>
    <font>
      <b/>
      <sz val="11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58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58" fontId="6" fillId="3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10" fontId="6" fillId="0" borderId="1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10" fontId="7" fillId="0" borderId="0" xfId="0" applyNumberFormat="1" applyFont="1" applyFill="1" applyAlignment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8" fillId="2" borderId="0" xfId="0" applyFont="1" applyFill="1" applyAlignment="1">
      <alignment horizontal="left"/>
    </xf>
    <xf numFmtId="177" fontId="8" fillId="2" borderId="0" xfId="0" applyNumberFormat="1" applyFont="1" applyFill="1" applyAlignment="1">
      <alignment horizontal="left"/>
    </xf>
    <xf numFmtId="177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0" borderId="0" xfId="0" applyFont="1" applyFill="1" applyAlignment="1">
      <alignment vertical="center"/>
    </xf>
    <xf numFmtId="0" fontId="2" fillId="0" borderId="0" xfId="0" applyNumberFormat="1" applyFont="1" applyFill="1" applyAlignment="1"/>
    <xf numFmtId="0" fontId="10" fillId="0" borderId="0" xfId="0" applyFont="1" applyFill="1" applyAlignment="1"/>
    <xf numFmtId="22" fontId="10" fillId="0" borderId="0" xfId="0" applyNumberFormat="1" applyFont="1" applyFill="1" applyAlignment="1"/>
    <xf numFmtId="0" fontId="11" fillId="0" borderId="0" xfId="0" applyFont="1" applyFill="1" applyAlignment="1"/>
    <xf numFmtId="22" fontId="11" fillId="0" borderId="0" xfId="0" applyNumberFormat="1" applyFont="1" applyFill="1" applyAlignment="1"/>
    <xf numFmtId="0" fontId="12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/>
    <xf numFmtId="0" fontId="11" fillId="0" borderId="0" xfId="0" applyNumberFormat="1" applyFont="1" applyFill="1" applyAlignment="1"/>
    <xf numFmtId="176" fontId="11" fillId="0" borderId="0" xfId="0" applyNumberFormat="1" applyFont="1" applyFill="1" applyAlignment="1"/>
    <xf numFmtId="178" fontId="13" fillId="0" borderId="0" xfId="0" applyNumberFormat="1" applyFont="1" applyFill="1" applyAlignment="1">
      <alignment vertical="center"/>
    </xf>
    <xf numFmtId="176" fontId="13" fillId="0" borderId="0" xfId="0" applyNumberFormat="1" applyFont="1" applyFill="1" applyAlignment="1">
      <alignment vertical="center"/>
    </xf>
    <xf numFmtId="179" fontId="10" fillId="0" borderId="0" xfId="0" applyNumberFormat="1" applyFont="1" applyFill="1" applyAlignment="1"/>
    <xf numFmtId="177" fontId="11" fillId="0" borderId="0" xfId="0" applyNumberFormat="1" applyFont="1" applyFill="1" applyAlignment="1"/>
    <xf numFmtId="1" fontId="13" fillId="0" borderId="0" xfId="0" applyNumberFormat="1" applyFont="1" applyFill="1" applyAlignment="1">
      <alignment vertical="center"/>
    </xf>
    <xf numFmtId="178" fontId="13" fillId="2" borderId="0" xfId="0" applyNumberFormat="1" applyFont="1" applyFill="1" applyAlignment="1">
      <alignment vertical="center"/>
    </xf>
    <xf numFmtId="1" fontId="13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C33" sqref="C33"/>
    </sheetView>
  </sheetViews>
  <sheetFormatPr defaultColWidth="11.3308823529412" defaultRowHeight="15.2"/>
  <cols>
    <col min="1" max="1" width="11.3308823529412" style="2"/>
    <col min="2" max="2" width="11.7794117647059" style="3" customWidth="1"/>
    <col min="3" max="3" width="15.6691176470588" style="3" customWidth="1"/>
    <col min="4" max="4" width="11.3308823529412" style="3"/>
    <col min="5" max="5" width="6.88970588235294" style="3" customWidth="1"/>
    <col min="6" max="6" width="10.7794117647059" style="3" customWidth="1"/>
    <col min="7" max="16" width="9" style="3" customWidth="1"/>
    <col min="17" max="17" width="8.64705882352941" style="4" customWidth="1"/>
    <col min="18" max="18" width="7.59558823529412" style="4" customWidth="1"/>
    <col min="19" max="19" width="7.40441176470588" style="4" customWidth="1"/>
    <col min="20" max="16384" width="11.3308823529412" style="3"/>
  </cols>
  <sheetData>
    <row r="1" ht="16.8" spans="1:19">
      <c r="A1" s="5" t="s">
        <v>0</v>
      </c>
      <c r="B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21"/>
      <c r="R1" s="21"/>
      <c r="S1" s="21"/>
    </row>
    <row r="2" ht="16.8" spans="1:19">
      <c r="A2" s="5" t="s">
        <v>1</v>
      </c>
      <c r="B2" s="7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1"/>
      <c r="R2" s="21"/>
      <c r="S2" s="21"/>
    </row>
    <row r="3" ht="16.8" spans="1:19">
      <c r="A3" s="5" t="s">
        <v>3</v>
      </c>
      <c r="B3" s="7">
        <v>4380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1"/>
      <c r="R3" s="21"/>
      <c r="S3" s="21"/>
    </row>
    <row r="4" ht="16.8" spans="1:19">
      <c r="A4" s="5" t="s">
        <v>4</v>
      </c>
      <c r="B4" s="7">
        <v>145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21"/>
      <c r="R4" s="21"/>
      <c r="S4" s="21"/>
    </row>
    <row r="5" ht="16.8" spans="2:19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1"/>
      <c r="R5" s="21"/>
      <c r="S5" s="21"/>
    </row>
    <row r="6" ht="16.8" spans="1:19">
      <c r="A6" s="27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21" t="s">
        <v>21</v>
      </c>
      <c r="R6" s="21" t="s">
        <v>22</v>
      </c>
      <c r="S6" s="21" t="s">
        <v>23</v>
      </c>
    </row>
    <row r="7" ht="16.8" spans="2:16">
      <c r="B7" s="28"/>
      <c r="C7" s="28"/>
      <c r="D7" s="28"/>
      <c r="E7" s="28"/>
      <c r="F7" s="28"/>
      <c r="G7" s="33"/>
      <c r="H7" s="33"/>
      <c r="I7" s="33"/>
      <c r="J7" s="38"/>
      <c r="K7" s="28"/>
      <c r="L7" s="28"/>
      <c r="M7" s="28"/>
      <c r="N7" s="28"/>
      <c r="O7" s="28"/>
      <c r="P7" s="28"/>
    </row>
    <row r="8" ht="16.8" spans="2:16">
      <c r="B8" s="28"/>
      <c r="C8" s="28"/>
      <c r="D8" s="28"/>
      <c r="E8" s="28"/>
      <c r="F8" s="28"/>
      <c r="G8" s="33"/>
      <c r="H8" s="33"/>
      <c r="I8" s="33"/>
      <c r="J8" s="38"/>
      <c r="K8" s="28"/>
      <c r="L8" s="28"/>
      <c r="M8" s="28"/>
      <c r="N8" s="28"/>
      <c r="O8" s="28"/>
      <c r="P8" s="28"/>
    </row>
    <row r="9" ht="16.8" spans="1:19">
      <c r="A9" s="2" t="s">
        <v>24</v>
      </c>
      <c r="B9" s="28" t="s">
        <v>25</v>
      </c>
      <c r="C9" s="29">
        <v>46164.75</v>
      </c>
      <c r="D9" s="28" t="s">
        <v>26</v>
      </c>
      <c r="E9" s="28" t="s">
        <v>27</v>
      </c>
      <c r="F9" s="28">
        <v>26789</v>
      </c>
      <c r="G9" s="33">
        <v>0.291</v>
      </c>
      <c r="H9" s="33">
        <v>0.7</v>
      </c>
      <c r="I9" s="33">
        <v>0.151</v>
      </c>
      <c r="J9" s="38">
        <v>36.4</v>
      </c>
      <c r="K9" s="28">
        <v>911</v>
      </c>
      <c r="L9" s="28">
        <v>4</v>
      </c>
      <c r="M9" s="28">
        <v>34</v>
      </c>
      <c r="N9" s="28">
        <v>35</v>
      </c>
      <c r="O9" s="28">
        <v>43</v>
      </c>
      <c r="P9" s="28">
        <v>4</v>
      </c>
      <c r="Q9" s="25">
        <v>1000</v>
      </c>
      <c r="R9" s="24">
        <f t="shared" ref="R9:R17" si="0">Q9/F9*1000</f>
        <v>37.3287543394677</v>
      </c>
      <c r="S9" s="24">
        <f t="shared" ref="S9:S17" si="1">Q9/(K9+L9+M9+N9)</f>
        <v>1.01626016260163</v>
      </c>
    </row>
    <row r="10" ht="17.6" spans="1:19">
      <c r="A10" s="2" t="s">
        <v>28</v>
      </c>
      <c r="B10" s="30" t="s">
        <v>29</v>
      </c>
      <c r="C10" s="31">
        <v>46161.75</v>
      </c>
      <c r="D10" s="30" t="s">
        <v>26</v>
      </c>
      <c r="E10" s="30" t="s">
        <v>27</v>
      </c>
      <c r="F10" s="34">
        <v>10695</v>
      </c>
      <c r="G10" s="35">
        <v>0.086</v>
      </c>
      <c r="H10" s="35">
        <v>0.446</v>
      </c>
      <c r="I10" s="35">
        <v>0.256</v>
      </c>
      <c r="J10" s="39">
        <v>16.7</v>
      </c>
      <c r="K10" s="30">
        <v>428</v>
      </c>
      <c r="L10" s="30">
        <v>2</v>
      </c>
      <c r="M10" s="30">
        <v>31</v>
      </c>
      <c r="N10" s="30">
        <v>8</v>
      </c>
      <c r="O10" s="30">
        <v>119</v>
      </c>
      <c r="P10" s="30">
        <v>2</v>
      </c>
      <c r="Q10" s="25">
        <v>500</v>
      </c>
      <c r="R10" s="24">
        <f t="shared" si="0"/>
        <v>46.7508181393174</v>
      </c>
      <c r="S10" s="24">
        <f t="shared" si="1"/>
        <v>1.06609808102345</v>
      </c>
    </row>
    <row r="11" ht="17.6" spans="1:19">
      <c r="A11" s="2" t="s">
        <v>30</v>
      </c>
      <c r="B11" s="30" t="s">
        <v>31</v>
      </c>
      <c r="C11" s="31">
        <v>46157.753599537</v>
      </c>
      <c r="D11" s="30" t="s">
        <v>26</v>
      </c>
      <c r="E11" s="30" t="s">
        <v>27</v>
      </c>
      <c r="F11" s="34">
        <v>6234</v>
      </c>
      <c r="G11" s="35">
        <v>0.244</v>
      </c>
      <c r="H11" s="35">
        <v>0.522</v>
      </c>
      <c r="I11" s="35">
        <v>0.282</v>
      </c>
      <c r="J11" s="39">
        <v>24.7</v>
      </c>
      <c r="K11" s="30">
        <v>475</v>
      </c>
      <c r="L11" s="30">
        <v>7</v>
      </c>
      <c r="M11" s="30">
        <v>23</v>
      </c>
      <c r="N11" s="30">
        <v>11</v>
      </c>
      <c r="O11" s="30">
        <v>151</v>
      </c>
      <c r="P11" s="30">
        <v>14</v>
      </c>
      <c r="Q11" s="25">
        <v>300</v>
      </c>
      <c r="R11" s="24">
        <f t="shared" si="0"/>
        <v>48.1231953801732</v>
      </c>
      <c r="S11" s="24">
        <f t="shared" si="1"/>
        <v>0.581395348837209</v>
      </c>
    </row>
    <row r="12" ht="17.6" spans="1:19">
      <c r="A12" s="2" t="s">
        <v>28</v>
      </c>
      <c r="B12" s="30" t="s">
        <v>32</v>
      </c>
      <c r="C12" s="31">
        <v>46154.7291666667</v>
      </c>
      <c r="D12" s="30" t="s">
        <v>33</v>
      </c>
      <c r="E12" s="30" t="s">
        <v>27</v>
      </c>
      <c r="F12" s="34">
        <v>15498</v>
      </c>
      <c r="G12" s="35">
        <v>0.217</v>
      </c>
      <c r="H12" s="35">
        <v>0.504</v>
      </c>
      <c r="I12" s="35">
        <v>0.294</v>
      </c>
      <c r="J12" s="39">
        <v>19.6</v>
      </c>
      <c r="K12" s="30">
        <v>731</v>
      </c>
      <c r="L12" s="30">
        <v>5</v>
      </c>
      <c r="M12" s="30">
        <v>32</v>
      </c>
      <c r="N12" s="30">
        <v>27</v>
      </c>
      <c r="O12" s="30">
        <v>152</v>
      </c>
      <c r="P12" s="30">
        <v>10</v>
      </c>
      <c r="Q12" s="25">
        <v>520</v>
      </c>
      <c r="R12" s="24">
        <f t="shared" si="0"/>
        <v>33.5527164795457</v>
      </c>
      <c r="S12" s="24">
        <f t="shared" si="1"/>
        <v>0.654088050314465</v>
      </c>
    </row>
    <row r="13" ht="17.6" spans="1:19">
      <c r="A13" s="2" t="s">
        <v>28</v>
      </c>
      <c r="B13" s="30" t="s">
        <v>34</v>
      </c>
      <c r="C13" s="31">
        <v>46151.7291666667</v>
      </c>
      <c r="D13" s="30" t="s">
        <v>33</v>
      </c>
      <c r="E13" s="30" t="s">
        <v>27</v>
      </c>
      <c r="F13" s="34">
        <v>6494</v>
      </c>
      <c r="G13" s="35">
        <v>0.188</v>
      </c>
      <c r="H13" s="35">
        <v>0.429</v>
      </c>
      <c r="I13" s="35">
        <v>0.334</v>
      </c>
      <c r="J13" s="39">
        <v>15.8</v>
      </c>
      <c r="K13" s="30">
        <v>313</v>
      </c>
      <c r="L13" s="30">
        <v>1</v>
      </c>
      <c r="M13" s="30">
        <v>14</v>
      </c>
      <c r="N13" s="30">
        <v>6</v>
      </c>
      <c r="O13" s="30">
        <v>66</v>
      </c>
      <c r="P13" s="30">
        <v>8</v>
      </c>
      <c r="Q13" s="25">
        <v>200</v>
      </c>
      <c r="R13" s="24">
        <f t="shared" si="0"/>
        <v>30.7976593778873</v>
      </c>
      <c r="S13" s="24">
        <f t="shared" si="1"/>
        <v>0.598802395209581</v>
      </c>
    </row>
    <row r="14" ht="17.6" spans="1:19">
      <c r="A14" s="2" t="s">
        <v>24</v>
      </c>
      <c r="B14" s="30" t="s">
        <v>35</v>
      </c>
      <c r="C14" s="31">
        <v>46149.7291666667</v>
      </c>
      <c r="D14" s="30" t="s">
        <v>26</v>
      </c>
      <c r="E14" s="30" t="s">
        <v>27</v>
      </c>
      <c r="F14" s="34">
        <v>10296</v>
      </c>
      <c r="G14" s="35">
        <v>0.15</v>
      </c>
      <c r="H14" s="35">
        <v>0.605</v>
      </c>
      <c r="I14" s="35">
        <v>0.206</v>
      </c>
      <c r="J14" s="39">
        <v>28.7</v>
      </c>
      <c r="K14" s="30">
        <v>317</v>
      </c>
      <c r="L14" s="30">
        <v>0</v>
      </c>
      <c r="M14" s="30">
        <v>7</v>
      </c>
      <c r="N14" s="30">
        <v>6</v>
      </c>
      <c r="O14" s="30">
        <v>70</v>
      </c>
      <c r="P14" s="30">
        <v>3</v>
      </c>
      <c r="Q14" s="25">
        <v>300</v>
      </c>
      <c r="R14" s="24">
        <f t="shared" si="0"/>
        <v>29.1375291375291</v>
      </c>
      <c r="S14" s="24">
        <f t="shared" si="1"/>
        <v>0.909090909090909</v>
      </c>
    </row>
    <row r="15" ht="17.6" spans="1:19">
      <c r="A15" s="2" t="s">
        <v>30</v>
      </c>
      <c r="B15" s="30" t="s">
        <v>36</v>
      </c>
      <c r="C15" s="31">
        <v>46147.7291666667</v>
      </c>
      <c r="D15" s="30" t="s">
        <v>26</v>
      </c>
      <c r="E15" s="30" t="s">
        <v>27</v>
      </c>
      <c r="F15" s="34">
        <v>6242</v>
      </c>
      <c r="G15" s="35">
        <v>0.17</v>
      </c>
      <c r="H15" s="35">
        <v>0.416</v>
      </c>
      <c r="I15" s="35">
        <v>0.332</v>
      </c>
      <c r="J15" s="39">
        <v>19.4</v>
      </c>
      <c r="K15" s="30">
        <v>338</v>
      </c>
      <c r="L15" s="30">
        <v>2</v>
      </c>
      <c r="M15" s="30">
        <v>10</v>
      </c>
      <c r="N15" s="30">
        <v>12</v>
      </c>
      <c r="O15" s="30">
        <v>28</v>
      </c>
      <c r="P15" s="30">
        <v>4</v>
      </c>
      <c r="Q15" s="25">
        <v>200</v>
      </c>
      <c r="R15" s="24">
        <f t="shared" si="0"/>
        <v>32.0410124959949</v>
      </c>
      <c r="S15" s="24">
        <f t="shared" si="1"/>
        <v>0.552486187845304</v>
      </c>
    </row>
    <row r="16" ht="17.6" spans="1:19">
      <c r="A16" s="2" t="s">
        <v>24</v>
      </c>
      <c r="B16" s="30" t="s">
        <v>37</v>
      </c>
      <c r="C16" s="31">
        <v>46145.7291666667</v>
      </c>
      <c r="D16" s="30" t="s">
        <v>26</v>
      </c>
      <c r="E16" s="30" t="s">
        <v>27</v>
      </c>
      <c r="F16" s="34">
        <v>9206</v>
      </c>
      <c r="G16" s="35">
        <v>0.197</v>
      </c>
      <c r="H16" s="35">
        <v>0.52</v>
      </c>
      <c r="I16" s="35">
        <v>0.292</v>
      </c>
      <c r="J16" s="39">
        <v>26.9</v>
      </c>
      <c r="K16" s="30">
        <v>782</v>
      </c>
      <c r="L16" s="30">
        <v>4</v>
      </c>
      <c r="M16" s="30">
        <v>18</v>
      </c>
      <c r="N16" s="30">
        <v>26</v>
      </c>
      <c r="O16" s="30">
        <v>107</v>
      </c>
      <c r="P16" s="30">
        <v>10</v>
      </c>
      <c r="Q16" s="25">
        <v>300</v>
      </c>
      <c r="R16" s="24">
        <f t="shared" si="0"/>
        <v>32.5874429719748</v>
      </c>
      <c r="S16" s="24">
        <f t="shared" si="1"/>
        <v>0.36144578313253</v>
      </c>
    </row>
    <row r="17" ht="17.6" spans="1:19">
      <c r="A17" s="2" t="s">
        <v>28</v>
      </c>
      <c r="B17" s="30" t="s">
        <v>38</v>
      </c>
      <c r="C17" s="31">
        <v>46143.7330324074</v>
      </c>
      <c r="D17" s="30" t="s">
        <v>26</v>
      </c>
      <c r="E17" s="30" t="s">
        <v>27</v>
      </c>
      <c r="F17" s="34">
        <v>9577</v>
      </c>
      <c r="G17" s="35">
        <v>0.1</v>
      </c>
      <c r="H17" s="35">
        <v>0.565</v>
      </c>
      <c r="I17" s="35">
        <v>0.21</v>
      </c>
      <c r="J17" s="39">
        <v>24.1</v>
      </c>
      <c r="K17" s="30">
        <v>84</v>
      </c>
      <c r="L17" s="30">
        <v>3</v>
      </c>
      <c r="M17" s="30">
        <v>21</v>
      </c>
      <c r="N17" s="30">
        <v>4</v>
      </c>
      <c r="O17" s="30">
        <v>345</v>
      </c>
      <c r="P17" s="30">
        <v>15</v>
      </c>
      <c r="Q17" s="25">
        <v>300</v>
      </c>
      <c r="R17" s="24">
        <f t="shared" si="0"/>
        <v>31.3250495979952</v>
      </c>
      <c r="S17" s="24">
        <f t="shared" si="1"/>
        <v>2.67857142857143</v>
      </c>
    </row>
    <row r="18" ht="17.6" spans="1:19">
      <c r="A18" s="32"/>
      <c r="B18" s="32" t="s">
        <v>39</v>
      </c>
      <c r="C18" s="32"/>
      <c r="D18" s="32"/>
      <c r="E18" s="32"/>
      <c r="F18" s="36">
        <f t="shared" ref="F18:P18" si="2">AVERAGE(F9:F17)</f>
        <v>11225.6666666667</v>
      </c>
      <c r="G18" s="37">
        <f t="shared" si="2"/>
        <v>0.182555555555556</v>
      </c>
      <c r="H18" s="37">
        <f t="shared" si="2"/>
        <v>0.523</v>
      </c>
      <c r="I18" s="37">
        <f t="shared" si="2"/>
        <v>0.261888888888889</v>
      </c>
      <c r="J18" s="36">
        <f t="shared" si="2"/>
        <v>23.5888888888889</v>
      </c>
      <c r="K18" s="36">
        <f t="shared" si="2"/>
        <v>486.555555555556</v>
      </c>
      <c r="L18" s="36">
        <f t="shared" si="2"/>
        <v>3.11111111111111</v>
      </c>
      <c r="M18" s="36">
        <f t="shared" si="2"/>
        <v>21.1111111111111</v>
      </c>
      <c r="N18" s="36">
        <f t="shared" si="2"/>
        <v>15</v>
      </c>
      <c r="O18" s="36">
        <f t="shared" si="2"/>
        <v>120.111111111111</v>
      </c>
      <c r="P18" s="36">
        <f t="shared" si="2"/>
        <v>7.77777777777778</v>
      </c>
      <c r="Q18" s="41"/>
      <c r="R18" s="41"/>
      <c r="S18" s="41"/>
    </row>
    <row r="19" ht="17.6" spans="1:19">
      <c r="A19" s="32"/>
      <c r="B19" s="32" t="s">
        <v>40</v>
      </c>
      <c r="C19" s="32"/>
      <c r="D19" s="32"/>
      <c r="E19" s="32"/>
      <c r="F19" s="36">
        <f>SUM(F9:F17)</f>
        <v>101031</v>
      </c>
      <c r="G19" s="36"/>
      <c r="H19" s="36"/>
      <c r="I19" s="36"/>
      <c r="J19" s="36"/>
      <c r="K19" s="40">
        <f t="shared" ref="K19:Q19" si="3">SUM(K9:K17)</f>
        <v>4379</v>
      </c>
      <c r="L19" s="40">
        <f t="shared" si="3"/>
        <v>28</v>
      </c>
      <c r="M19" s="40">
        <f t="shared" si="3"/>
        <v>190</v>
      </c>
      <c r="N19" s="40">
        <f t="shared" si="3"/>
        <v>135</v>
      </c>
      <c r="O19" s="40">
        <f t="shared" si="3"/>
        <v>1081</v>
      </c>
      <c r="P19" s="40">
        <f t="shared" si="3"/>
        <v>70</v>
      </c>
      <c r="Q19" s="42">
        <f t="shared" si="3"/>
        <v>3620</v>
      </c>
      <c r="R19" s="41"/>
      <c r="S19" s="41"/>
    </row>
  </sheetData>
  <sheetProtection formatCells="0" insertHyperlinks="0" autoFilter="0"/>
  <mergeCells count="2">
    <mergeCell ref="B18:E18"/>
    <mergeCell ref="B19:E19"/>
  </mergeCells>
  <conditionalFormatting sqref="F1:F17 F35:F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{dcad0f68-d7dd-44e5-9508-2ceb3fa8b97c}</x14:id>
        </ext>
      </extLst>
    </cfRule>
  </conditionalFormatting>
  <dataValidations count="1">
    <dataValidation type="list" allowBlank="1" showErrorMessage="1" errorTitle="错误提示" error="请输入下拉列表中的值" id="{22503c7a-5ecf-44d7-82ce-af37be3c4989}" sqref="A5:A1048576">
      <formula1>"弱植入,中植入,强植入"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d0f68-d7dd-44e5-9508-2ceb3fa8b9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F1:F17 F35:F1048576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opLeftCell="E1" workbookViewId="0">
      <selection activeCell="A1" sqref="A1:B4"/>
    </sheetView>
  </sheetViews>
  <sheetFormatPr defaultColWidth="11.3308823529412" defaultRowHeight="15.2"/>
  <cols>
    <col min="1" max="1" width="11.3308823529412" style="2"/>
    <col min="2" max="2" width="12.4411764705882" style="3" customWidth="1"/>
    <col min="3" max="3" width="10.1102941176471" style="3" customWidth="1"/>
    <col min="4" max="13" width="8" style="3" customWidth="1"/>
    <col min="14" max="14" width="8.64705882352941" style="4" customWidth="1"/>
    <col min="15" max="15" width="7.59558823529412" style="4" customWidth="1"/>
    <col min="16" max="16" width="7.40441176470588" style="4" customWidth="1"/>
    <col min="17" max="16384" width="11.3308823529412" style="3"/>
  </cols>
  <sheetData>
    <row r="1" ht="16.8" spans="1:16">
      <c r="A1" s="5" t="s">
        <v>41</v>
      </c>
      <c r="B1" s="5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1"/>
      <c r="P1" s="21"/>
    </row>
    <row r="2" ht="16.8" spans="1:16">
      <c r="A2" s="5" t="s">
        <v>1</v>
      </c>
      <c r="B2" s="7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21"/>
      <c r="O2" s="21"/>
      <c r="P2" s="21"/>
    </row>
    <row r="3" ht="16.8" spans="1:16">
      <c r="A3" s="5" t="s">
        <v>3</v>
      </c>
      <c r="B3" s="7">
        <v>6218</v>
      </c>
      <c r="D3" s="6"/>
      <c r="E3" s="6"/>
      <c r="F3" s="6"/>
      <c r="G3" s="6"/>
      <c r="H3" s="6"/>
      <c r="I3" s="6"/>
      <c r="J3" s="6"/>
      <c r="K3" s="6"/>
      <c r="L3" s="6"/>
      <c r="M3" s="6"/>
      <c r="N3" s="21"/>
      <c r="O3" s="21"/>
      <c r="P3" s="21"/>
    </row>
    <row r="4" ht="16.8" spans="1:16">
      <c r="A4" s="5" t="s">
        <v>4</v>
      </c>
      <c r="B4" s="7">
        <v>813</v>
      </c>
      <c r="D4" s="6"/>
      <c r="E4" s="6"/>
      <c r="F4" s="6"/>
      <c r="G4" s="6"/>
      <c r="H4" s="6"/>
      <c r="I4" s="6"/>
      <c r="J4" s="6"/>
      <c r="K4" s="6"/>
      <c r="L4" s="6"/>
      <c r="M4" s="6"/>
      <c r="N4" s="21"/>
      <c r="O4" s="21"/>
      <c r="P4" s="21"/>
    </row>
    <row r="5" ht="16.8" spans="2:16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21"/>
      <c r="O5" s="21"/>
      <c r="P5" s="21"/>
    </row>
    <row r="6" s="1" customFormat="1" ht="16.8" spans="1:16">
      <c r="A6" s="8" t="s">
        <v>5</v>
      </c>
      <c r="B6" s="9" t="s">
        <v>42</v>
      </c>
      <c r="C6" s="9" t="s">
        <v>7</v>
      </c>
      <c r="D6" s="9" t="s">
        <v>10</v>
      </c>
      <c r="E6" s="9" t="s">
        <v>11</v>
      </c>
      <c r="F6" s="9" t="s">
        <v>17</v>
      </c>
      <c r="G6" s="9" t="s">
        <v>15</v>
      </c>
      <c r="H6" s="9" t="s">
        <v>18</v>
      </c>
      <c r="I6" s="9" t="s">
        <v>43</v>
      </c>
      <c r="J6" s="9" t="s">
        <v>44</v>
      </c>
      <c r="K6" s="9" t="s">
        <v>45</v>
      </c>
      <c r="L6" s="9" t="s">
        <v>46</v>
      </c>
      <c r="M6" s="9" t="s">
        <v>11</v>
      </c>
      <c r="N6" s="21" t="s">
        <v>21</v>
      </c>
      <c r="O6" s="21" t="s">
        <v>22</v>
      </c>
      <c r="P6" s="21" t="s">
        <v>23</v>
      </c>
    </row>
    <row r="7" ht="16.8" spans="2:16">
      <c r="B7" s="10"/>
      <c r="C7" s="11"/>
      <c r="D7" s="12"/>
      <c r="E7" s="17"/>
      <c r="F7" s="12"/>
      <c r="G7" s="12"/>
      <c r="H7" s="12"/>
      <c r="I7" s="12"/>
      <c r="J7" s="12"/>
      <c r="K7" s="17"/>
      <c r="L7" s="17"/>
      <c r="M7" s="17"/>
      <c r="N7" s="22"/>
      <c r="O7" s="23"/>
      <c r="P7" s="23"/>
    </row>
    <row r="8" ht="16.8" spans="2:16">
      <c r="B8" s="13"/>
      <c r="C8" s="14"/>
      <c r="D8" s="15"/>
      <c r="E8" s="18"/>
      <c r="F8" s="15"/>
      <c r="G8" s="15"/>
      <c r="H8" s="15"/>
      <c r="I8" s="15"/>
      <c r="J8" s="12"/>
      <c r="K8" s="17"/>
      <c r="L8" s="17"/>
      <c r="M8" s="17"/>
      <c r="N8" s="22"/>
      <c r="O8" s="23"/>
      <c r="P8" s="23"/>
    </row>
    <row r="9" ht="17" spans="1:16">
      <c r="A9" s="2" t="s">
        <v>28</v>
      </c>
      <c r="B9" s="16" t="s">
        <v>47</v>
      </c>
      <c r="C9" s="16" t="s">
        <v>48</v>
      </c>
      <c r="D9" s="16">
        <v>14592</v>
      </c>
      <c r="E9" s="19">
        <v>0.076</v>
      </c>
      <c r="F9" s="16">
        <v>9</v>
      </c>
      <c r="G9" s="16">
        <v>2028</v>
      </c>
      <c r="H9" s="16">
        <v>17</v>
      </c>
      <c r="I9" s="16">
        <v>8</v>
      </c>
      <c r="J9" s="12">
        <v>25.2</v>
      </c>
      <c r="K9" s="17">
        <v>0.362</v>
      </c>
      <c r="L9" s="17">
        <v>0.543</v>
      </c>
      <c r="M9" s="17">
        <v>0.076</v>
      </c>
      <c r="N9" s="22">
        <v>200</v>
      </c>
      <c r="O9" s="24">
        <f t="shared" ref="O9:O13" si="0">N9/D9*1000</f>
        <v>13.7061403508772</v>
      </c>
      <c r="P9" s="24">
        <f t="shared" ref="P9:P13" si="1">N9/(F9+G9+H9)</f>
        <v>0.0973709834469328</v>
      </c>
    </row>
    <row r="10" ht="17" spans="1:17">
      <c r="A10" s="2" t="s">
        <v>24</v>
      </c>
      <c r="B10" s="16" t="s">
        <v>49</v>
      </c>
      <c r="C10" s="16" t="s">
        <v>50</v>
      </c>
      <c r="D10" s="16">
        <v>8257</v>
      </c>
      <c r="E10" s="19">
        <v>0.03</v>
      </c>
      <c r="F10" s="16">
        <v>4</v>
      </c>
      <c r="G10" s="16">
        <v>1294</v>
      </c>
      <c r="H10" s="16">
        <v>7</v>
      </c>
      <c r="I10" s="16">
        <v>14</v>
      </c>
      <c r="J10" s="12">
        <v>17</v>
      </c>
      <c r="K10" s="17">
        <v>0.412</v>
      </c>
      <c r="L10" s="17">
        <v>0.441</v>
      </c>
      <c r="M10" s="17">
        <v>0.03</v>
      </c>
      <c r="N10" s="22">
        <v>108</v>
      </c>
      <c r="O10" s="24">
        <f t="shared" si="0"/>
        <v>13.0798110693957</v>
      </c>
      <c r="P10" s="24">
        <f t="shared" si="1"/>
        <v>0.0827586206896552</v>
      </c>
      <c r="Q10" s="26"/>
    </row>
    <row r="11" ht="17" spans="1:16">
      <c r="A11" s="2" t="s">
        <v>30</v>
      </c>
      <c r="B11" s="16" t="s">
        <v>51</v>
      </c>
      <c r="C11" s="16" t="s">
        <v>52</v>
      </c>
      <c r="D11" s="16">
        <v>25288</v>
      </c>
      <c r="E11" s="19">
        <v>0.011</v>
      </c>
      <c r="F11" s="16">
        <v>27</v>
      </c>
      <c r="G11" s="16">
        <v>1962</v>
      </c>
      <c r="H11" s="16">
        <v>215</v>
      </c>
      <c r="I11" s="16">
        <v>548</v>
      </c>
      <c r="J11" s="12">
        <v>5</v>
      </c>
      <c r="K11" s="20">
        <v>0.552</v>
      </c>
      <c r="L11" s="20">
        <v>0.153</v>
      </c>
      <c r="M11" s="17">
        <v>0.011</v>
      </c>
      <c r="N11" s="22">
        <v>492</v>
      </c>
      <c r="O11" s="24">
        <f t="shared" si="0"/>
        <v>19.4558683960772</v>
      </c>
      <c r="P11" s="24">
        <f t="shared" si="1"/>
        <v>0.223230490018149</v>
      </c>
    </row>
    <row r="12" ht="17" spans="1:16">
      <c r="A12" s="2" t="s">
        <v>24</v>
      </c>
      <c r="B12" s="16" t="s">
        <v>53</v>
      </c>
      <c r="C12" s="16" t="s">
        <v>54</v>
      </c>
      <c r="D12" s="16">
        <v>1712</v>
      </c>
      <c r="E12" s="19">
        <v>0.012</v>
      </c>
      <c r="F12" s="16">
        <v>0</v>
      </c>
      <c r="G12" s="16">
        <v>18</v>
      </c>
      <c r="H12" s="16">
        <v>0</v>
      </c>
      <c r="I12" s="16">
        <v>0</v>
      </c>
      <c r="J12" s="12">
        <v>22.8</v>
      </c>
      <c r="K12" s="20">
        <v>0.325</v>
      </c>
      <c r="L12" s="20">
        <v>0.361</v>
      </c>
      <c r="M12" s="17">
        <v>0.012</v>
      </c>
      <c r="N12" s="25">
        <v>0</v>
      </c>
      <c r="O12" s="24">
        <f t="shared" si="0"/>
        <v>0</v>
      </c>
      <c r="P12" s="24">
        <f t="shared" si="1"/>
        <v>0</v>
      </c>
    </row>
    <row r="13" ht="17" spans="1:16">
      <c r="A13" s="2" t="s">
        <v>28</v>
      </c>
      <c r="B13" s="16" t="s">
        <v>55</v>
      </c>
      <c r="C13" s="16" t="s">
        <v>56</v>
      </c>
      <c r="D13" s="16">
        <v>8006</v>
      </c>
      <c r="E13" s="19">
        <v>0.026</v>
      </c>
      <c r="F13" s="16">
        <v>12</v>
      </c>
      <c r="G13" s="16">
        <v>916</v>
      </c>
      <c r="H13" s="16">
        <v>10</v>
      </c>
      <c r="I13" s="16">
        <v>3</v>
      </c>
      <c r="J13" s="12">
        <v>26.2</v>
      </c>
      <c r="K13" s="20">
        <v>0.172</v>
      </c>
      <c r="L13" s="20">
        <v>0.721</v>
      </c>
      <c r="M13" s="17">
        <v>0.026</v>
      </c>
      <c r="N13" s="25">
        <v>100</v>
      </c>
      <c r="O13" s="24">
        <f t="shared" si="0"/>
        <v>12.4906320259805</v>
      </c>
      <c r="P13" s="24">
        <f t="shared" si="1"/>
        <v>0.106609808102345</v>
      </c>
    </row>
    <row r="14" ht="16.8" spans="14:16">
      <c r="N14" s="25"/>
      <c r="O14" s="24"/>
      <c r="P14" s="24"/>
    </row>
    <row r="15" ht="16.8" spans="14:16">
      <c r="N15" s="25"/>
      <c r="O15" s="24"/>
      <c r="P15" s="24"/>
    </row>
    <row r="16" ht="16.8" spans="14:16">
      <c r="N16" s="25"/>
      <c r="O16" s="24"/>
      <c r="P16" s="24"/>
    </row>
    <row r="17" ht="16.8" spans="14:16">
      <c r="N17" s="25"/>
      <c r="O17" s="24"/>
      <c r="P17" s="24"/>
    </row>
    <row r="18" ht="16.8" spans="14:16">
      <c r="N18" s="25"/>
      <c r="O18" s="24"/>
      <c r="P18" s="24"/>
    </row>
  </sheetData>
  <sheetProtection formatCells="0" formatColumns="0" formatRows="0" insertRows="0" insertColumns="0" insertHyperlinks="0" deleteColumns="0" deleteRows="0" sort="0" autoFilter="0" pivotTables="0"/>
  <conditionalFormatting sqref="F1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7:D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{02c4e373-8e29-4c42-8fe7-0f73938f3de0}</x14:id>
        </ext>
      </extLst>
    </cfRule>
  </conditionalFormatting>
  <conditionalFormatting sqref="D10:D1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{97196850-2a43-4cfe-9547-e4d27bc4665f}</x14:id>
        </ext>
      </extLst>
    </cfRule>
  </conditionalFormatting>
  <dataValidations count="1">
    <dataValidation type="list" allowBlank="1" showErrorMessage="1" errorTitle="错误提示" error="请输入下拉列表中的值" id="{22503c7a-5ecf-44d7-82ce-af37be3c4989}" sqref="A5:A1048576">
      <formula1>"弱植入,中植入,强植入"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c4e373-8e29-4c42-8fe7-0f73938f3d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D7:D31</xm:sqref>
        </x14:conditionalFormatting>
        <x14:conditionalFormatting xmlns:xm="http://schemas.microsoft.com/office/excel/2006/main">
          <x14:cfRule type="dataBar" id="{97196850-2a43-4cfe-9547-e4d27bc466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D10:D13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22503c7a-5ecf-44d7-82ce-af37be3c4989}">
    <list multiSupport="0" colorSupport="1">
      <item index="0">
        <color s:rgb="FFC0E3F6"/>
      </item>
      <item index="1">
        <color s:rgb="FF6BBFEE"/>
      </item>
      <item index="2">
        <color s:rgb="FF30A4E4"/>
      </item>
    </list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抖音</vt:lpstr>
      <vt:lpstr>快手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周碧露</cp:lastModifiedBy>
  <dcterms:created xsi:type="dcterms:W3CDTF">2026-05-25T18:23:00Z</dcterms:created>
  <dcterms:modified xsi:type="dcterms:W3CDTF">2026-05-25T10:51:43Z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2C88F6D91EBB6E6BBFB2136AD78093A2_41</vt:lpwstr>
  </property>
  <property fmtid="{D5CDD505-2E9C-101B-9397-08002B2CF9AE}" pid="3" name="KSOProductBuildVer">
    <vt:lpwstr>2052-12.1.22218.22218</vt:lpwstr>
  </property>
  <property fmtid="{D5CDD505-2E9C-101B-9397-08002B2CF9AE}" pid="4" name="CalculationRule">
    <vt:i4>1</vt:i4>
  </property>
</Properties>
</file>